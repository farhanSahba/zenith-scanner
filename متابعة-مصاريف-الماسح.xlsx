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ابعة الشهرية" sheetId="1" state="visible" r:id="rId1"/>
    <sheet name="دليل التكالي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0&quot; ﷼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  <color rgb="000000FF"/>
    </font>
    <font>
      <name val="Arial"/>
      <i val="1"/>
      <color rgb="0080808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2" fontId="3" fillId="3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" fillId="0" borderId="1" pivotButton="0" quotePrefix="0" xfId="0"/>
    <xf numFmtId="164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6" customWidth="1" min="4" max="4"/>
    <col width="11" customWidth="1" min="5" max="5"/>
    <col width="14" customWidth="1" min="6" max="6"/>
    <col width="17" customWidth="1" min="7" max="7"/>
    <col width="13" customWidth="1" min="8" max="8"/>
    <col width="14" customWidth="1" min="9" max="9"/>
  </cols>
  <sheetData>
    <row r="1" ht="26" customHeight="1">
      <c r="A1" s="1" t="inlineStr">
        <is>
          <t>متابعة مصاريف وأرباح الماسح — Zenith</t>
        </is>
      </c>
    </row>
    <row r="2">
      <c r="A2" s="2" t="inlineStr">
        <is>
          <t>سعر الصرف ﷼/$</t>
        </is>
      </c>
      <c r="B2" s="3" t="n">
        <v>3.75</v>
      </c>
      <c r="C2" s="4" t="inlineStr">
        <is>
          <t>عبّئ الخلايا الصفراء فقط (الأرباح + Claude). المصاريف الثابتة مُعبّأة، والصافي يُحسب تلقائياً.</t>
        </is>
      </c>
    </row>
    <row r="4" ht="30" customHeight="1">
      <c r="A4" s="5" t="inlineStr">
        <is>
          <t>الشهر</t>
        </is>
      </c>
      <c r="B4" s="5" t="inlineStr">
        <is>
          <t>الأرباح ($)</t>
        </is>
      </c>
      <c r="C4" s="5" t="inlineStr">
        <is>
          <t>Alpaca ($)</t>
        </is>
      </c>
      <c r="D4" s="5" t="inlineStr">
        <is>
          <t>Alpha Vantage ($)</t>
        </is>
      </c>
      <c r="E4" s="5" t="inlineStr">
        <is>
          <t>Claude ($)</t>
        </is>
      </c>
      <c r="F4" s="5" t="inlineStr">
        <is>
          <t>TradingView ($)</t>
        </is>
      </c>
      <c r="G4" s="5" t="inlineStr">
        <is>
          <t>إجمالي المصاريف ($)</t>
        </is>
      </c>
      <c r="H4" s="5" t="inlineStr">
        <is>
          <t>الصافي ($)</t>
        </is>
      </c>
      <c r="I4" s="5" t="inlineStr">
        <is>
          <t>الصافي (﷼)</t>
        </is>
      </c>
    </row>
    <row r="5">
      <c r="A5" s="6" t="inlineStr">
        <is>
          <t>مثال (احذفه)</t>
        </is>
      </c>
      <c r="B5" s="7" t="n">
        <v>3000</v>
      </c>
      <c r="C5" s="7" t="n">
        <v>99</v>
      </c>
      <c r="D5" s="7" t="n">
        <v>49.99</v>
      </c>
      <c r="E5" s="7" t="n">
        <v>2</v>
      </c>
      <c r="F5" s="7" t="n">
        <v>55</v>
      </c>
      <c r="G5" s="7">
        <f>C5+D5+E5+F5</f>
        <v/>
      </c>
      <c r="H5" s="7">
        <f>B5-G5</f>
        <v/>
      </c>
      <c r="I5" s="8">
        <f>H5*$B$2</f>
        <v/>
      </c>
    </row>
    <row r="6">
      <c r="A6" s="9" t="inlineStr">
        <is>
          <t>أكتوبر 2026</t>
        </is>
      </c>
      <c r="B6" s="10" t="n"/>
      <c r="C6" s="11" t="n">
        <v>99</v>
      </c>
      <c r="D6" s="11" t="n">
        <v>49.99</v>
      </c>
      <c r="E6" s="10" t="n"/>
      <c r="F6" s="11" t="n">
        <v>55</v>
      </c>
      <c r="G6" s="11">
        <f>C6+D6+E6+F6</f>
        <v/>
      </c>
      <c r="H6" s="11">
        <f>B6-G6</f>
        <v/>
      </c>
      <c r="I6" s="12">
        <f>H6*$B$2</f>
        <v/>
      </c>
    </row>
    <row r="7">
      <c r="A7" s="9" t="inlineStr">
        <is>
          <t>نوفمبر 2026</t>
        </is>
      </c>
      <c r="B7" s="10" t="n"/>
      <c r="C7" s="11" t="n">
        <v>99</v>
      </c>
      <c r="D7" s="11" t="n">
        <v>49.99</v>
      </c>
      <c r="E7" s="10" t="n"/>
      <c r="F7" s="11" t="n">
        <v>55</v>
      </c>
      <c r="G7" s="11">
        <f>C7+D7+E7+F7</f>
        <v/>
      </c>
      <c r="H7" s="11">
        <f>B7-G7</f>
        <v/>
      </c>
      <c r="I7" s="12">
        <f>H7*$B$2</f>
        <v/>
      </c>
    </row>
    <row r="8">
      <c r="A8" s="9" t="inlineStr">
        <is>
          <t>ديسمبر 2026</t>
        </is>
      </c>
      <c r="B8" s="10" t="n"/>
      <c r="C8" s="11" t="n">
        <v>99</v>
      </c>
      <c r="D8" s="11" t="n">
        <v>49.99</v>
      </c>
      <c r="E8" s="10" t="n"/>
      <c r="F8" s="11" t="n">
        <v>55</v>
      </c>
      <c r="G8" s="11">
        <f>C8+D8+E8+F8</f>
        <v/>
      </c>
      <c r="H8" s="11">
        <f>B8-G8</f>
        <v/>
      </c>
      <c r="I8" s="12">
        <f>H8*$B$2</f>
        <v/>
      </c>
    </row>
    <row r="9">
      <c r="A9" s="9" t="inlineStr">
        <is>
          <t>يناير 2027</t>
        </is>
      </c>
      <c r="B9" s="10" t="n"/>
      <c r="C9" s="11" t="n">
        <v>99</v>
      </c>
      <c r="D9" s="11" t="n">
        <v>49.99</v>
      </c>
      <c r="E9" s="10" t="n"/>
      <c r="F9" s="11" t="n">
        <v>55</v>
      </c>
      <c r="G9" s="11">
        <f>C9+D9+E9+F9</f>
        <v/>
      </c>
      <c r="H9" s="11">
        <f>B9-G9</f>
        <v/>
      </c>
      <c r="I9" s="12">
        <f>H9*$B$2</f>
        <v/>
      </c>
    </row>
    <row r="10">
      <c r="A10" s="9" t="inlineStr">
        <is>
          <t>فبراير 2027</t>
        </is>
      </c>
      <c r="B10" s="10" t="n"/>
      <c r="C10" s="11" t="n">
        <v>99</v>
      </c>
      <c r="D10" s="11" t="n">
        <v>49.99</v>
      </c>
      <c r="E10" s="10" t="n"/>
      <c r="F10" s="11" t="n">
        <v>55</v>
      </c>
      <c r="G10" s="11">
        <f>C10+D10+E10+F10</f>
        <v/>
      </c>
      <c r="H10" s="11">
        <f>B10-G10</f>
        <v/>
      </c>
      <c r="I10" s="12">
        <f>H10*$B$2</f>
        <v/>
      </c>
    </row>
    <row r="11">
      <c r="A11" s="9" t="inlineStr">
        <is>
          <t>مارس 2027</t>
        </is>
      </c>
      <c r="B11" s="10" t="n"/>
      <c r="C11" s="11" t="n">
        <v>99</v>
      </c>
      <c r="D11" s="11" t="n">
        <v>49.99</v>
      </c>
      <c r="E11" s="10" t="n"/>
      <c r="F11" s="11" t="n">
        <v>55</v>
      </c>
      <c r="G11" s="11">
        <f>C11+D11+E11+F11</f>
        <v/>
      </c>
      <c r="H11" s="11">
        <f>B11-G11</f>
        <v/>
      </c>
      <c r="I11" s="12">
        <f>H11*$B$2</f>
        <v/>
      </c>
    </row>
    <row r="12">
      <c r="A12" s="9" t="inlineStr">
        <is>
          <t>أبريل 2027</t>
        </is>
      </c>
      <c r="B12" s="10" t="n"/>
      <c r="C12" s="11" t="n">
        <v>99</v>
      </c>
      <c r="D12" s="11" t="n">
        <v>49.99</v>
      </c>
      <c r="E12" s="10" t="n"/>
      <c r="F12" s="11" t="n">
        <v>55</v>
      </c>
      <c r="G12" s="11">
        <f>C12+D12+E12+F12</f>
        <v/>
      </c>
      <c r="H12" s="11">
        <f>B12-G12</f>
        <v/>
      </c>
      <c r="I12" s="12">
        <f>H12*$B$2</f>
        <v/>
      </c>
    </row>
    <row r="13">
      <c r="A13" s="9" t="inlineStr">
        <is>
          <t>مايو 2027</t>
        </is>
      </c>
      <c r="B13" s="10" t="n"/>
      <c r="C13" s="11" t="n">
        <v>99</v>
      </c>
      <c r="D13" s="11" t="n">
        <v>49.99</v>
      </c>
      <c r="E13" s="10" t="n"/>
      <c r="F13" s="11" t="n">
        <v>55</v>
      </c>
      <c r="G13" s="11">
        <f>C13+D13+E13+F13</f>
        <v/>
      </c>
      <c r="H13" s="11">
        <f>B13-G13</f>
        <v/>
      </c>
      <c r="I13" s="12">
        <f>H13*$B$2</f>
        <v/>
      </c>
    </row>
    <row r="14">
      <c r="A14" s="9" t="inlineStr">
        <is>
          <t>يونيو 2027</t>
        </is>
      </c>
      <c r="B14" s="10" t="n"/>
      <c r="C14" s="11" t="n">
        <v>99</v>
      </c>
      <c r="D14" s="11" t="n">
        <v>49.99</v>
      </c>
      <c r="E14" s="10" t="n"/>
      <c r="F14" s="11" t="n">
        <v>55</v>
      </c>
      <c r="G14" s="11">
        <f>C14+D14+E14+F14</f>
        <v/>
      </c>
      <c r="H14" s="11">
        <f>B14-G14</f>
        <v/>
      </c>
      <c r="I14" s="12">
        <f>H14*$B$2</f>
        <v/>
      </c>
    </row>
    <row r="15">
      <c r="A15" s="9" t="inlineStr">
        <is>
          <t>يوليو 2027</t>
        </is>
      </c>
      <c r="B15" s="10" t="n"/>
      <c r="C15" s="11" t="n">
        <v>99</v>
      </c>
      <c r="D15" s="11" t="n">
        <v>49.99</v>
      </c>
      <c r="E15" s="10" t="n"/>
      <c r="F15" s="11" t="n">
        <v>55</v>
      </c>
      <c r="G15" s="11">
        <f>C15+D15+E15+F15</f>
        <v/>
      </c>
      <c r="H15" s="11">
        <f>B15-G15</f>
        <v/>
      </c>
      <c r="I15" s="12">
        <f>H15*$B$2</f>
        <v/>
      </c>
    </row>
    <row r="16">
      <c r="A16" s="9" t="inlineStr">
        <is>
          <t>أغسطس 2027</t>
        </is>
      </c>
      <c r="B16" s="10" t="n"/>
      <c r="C16" s="11" t="n">
        <v>99</v>
      </c>
      <c r="D16" s="11" t="n">
        <v>49.99</v>
      </c>
      <c r="E16" s="10" t="n"/>
      <c r="F16" s="11" t="n">
        <v>55</v>
      </c>
      <c r="G16" s="11">
        <f>C16+D16+E16+F16</f>
        <v/>
      </c>
      <c r="H16" s="11">
        <f>B16-G16</f>
        <v/>
      </c>
      <c r="I16" s="12">
        <f>H16*$B$2</f>
        <v/>
      </c>
    </row>
    <row r="17">
      <c r="A17" s="9" t="inlineStr">
        <is>
          <t>سبتمبر 2027</t>
        </is>
      </c>
      <c r="B17" s="10" t="n"/>
      <c r="C17" s="11" t="n">
        <v>99</v>
      </c>
      <c r="D17" s="11" t="n">
        <v>49.99</v>
      </c>
      <c r="E17" s="10" t="n"/>
      <c r="F17" s="11" t="n">
        <v>55</v>
      </c>
      <c r="G17" s="11">
        <f>C17+D17+E17+F17</f>
        <v/>
      </c>
      <c r="H17" s="11">
        <f>B17-G17</f>
        <v/>
      </c>
      <c r="I17" s="12">
        <f>H17*$B$2</f>
        <v/>
      </c>
    </row>
    <row r="18">
      <c r="A18" s="2" t="inlineStr">
        <is>
          <t>الإجمالي</t>
        </is>
      </c>
      <c r="B18" s="13">
        <f>SUM(B6:B17)</f>
        <v/>
      </c>
      <c r="C18" s="13">
        <f>SUM(C6:C17)</f>
        <v/>
      </c>
      <c r="D18" s="13">
        <f>SUM(D6:D17)</f>
        <v/>
      </c>
      <c r="E18" s="13">
        <f>SUM(E6:E17)</f>
        <v/>
      </c>
      <c r="F18" s="13">
        <f>SUM(F6:F17)</f>
        <v/>
      </c>
      <c r="G18" s="13">
        <f>SUM(G6:G17)</f>
        <v/>
      </c>
      <c r="H18" s="13">
        <f>SUM(H6:H17)</f>
        <v/>
      </c>
      <c r="I18" s="14">
        <f>SUM(I6:I17)</f>
        <v/>
      </c>
    </row>
  </sheetData>
  <mergeCells count="2">
    <mergeCell ref="A1:I1"/>
    <mergeCell ref="C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40" customWidth="1" min="4" max="4"/>
  </cols>
  <sheetData>
    <row r="1">
      <c r="A1" s="15" t="inlineStr">
        <is>
          <t>دليل التكاليف الثابتة الشهرية</t>
        </is>
      </c>
    </row>
    <row r="3">
      <c r="A3" s="5" t="inlineStr">
        <is>
          <t>الخدمة</t>
        </is>
      </c>
      <c r="B3" s="5" t="inlineStr">
        <is>
          <t>الدور</t>
        </is>
      </c>
      <c r="C3" s="5" t="inlineStr">
        <is>
          <t>التكلفة/شهر ($)</t>
        </is>
      </c>
      <c r="D3" s="5" t="inlineStr">
        <is>
          <t>ملاحظة</t>
        </is>
      </c>
    </row>
    <row r="4">
      <c r="A4" s="16" t="inlineStr">
        <is>
          <t>Alpaca Algo Trader Plus</t>
        </is>
      </c>
      <c r="B4" s="16" t="inlineStr">
        <is>
          <t>داتا لحظية 24س (SIP + ليلي)</t>
        </is>
      </c>
      <c r="C4" s="11" t="n">
        <v>99</v>
      </c>
      <c r="D4" s="17" t="inlineStr">
        <is>
          <t>مؤكّد من فاتورتك</t>
        </is>
      </c>
    </row>
    <row r="5">
      <c r="A5" s="16" t="inlineStr">
        <is>
          <t>Alpha Vantage Premium</t>
        </is>
      </c>
      <c r="B5" s="16" t="inlineStr">
        <is>
          <t>الفلوت + الأخبار والسنتمنت</t>
        </is>
      </c>
      <c r="C5" s="11" t="n">
        <v>49.99</v>
      </c>
      <c r="D5" s="17" t="inlineStr">
        <is>
          <t>باقة 75 طلب/دقيقة</t>
        </is>
      </c>
    </row>
    <row r="6">
      <c r="A6" s="16" t="inlineStr">
        <is>
          <t>Anthropic Claude (haiku)</t>
        </is>
      </c>
      <c r="B6" s="16" t="inlineStr">
        <is>
          <t>تحليل المحفّزات العربي</t>
        </is>
      </c>
      <c r="C6" s="11" t="n">
        <v>2</v>
      </c>
      <c r="D6" s="17" t="inlineStr">
        <is>
          <t>تقديري — رصيد مدفوع مسبق، ينقص ببطء</t>
        </is>
      </c>
    </row>
    <row r="7">
      <c r="A7" s="16" t="inlineStr">
        <is>
          <t>TradingView</t>
        </is>
      </c>
      <c r="B7" s="16" t="inlineStr">
        <is>
          <t>شارت + Float يدوي</t>
        </is>
      </c>
      <c r="C7" s="11" t="n">
        <v>55</v>
      </c>
      <c r="D7" s="17" t="inlineStr">
        <is>
          <t>موجود عندك مسبقاً — صفّره لو ما تحسبه</t>
        </is>
      </c>
    </row>
    <row r="8">
      <c r="A8" s="16" t="inlineStr">
        <is>
          <t>FMP</t>
        </is>
      </c>
      <c r="B8" s="16" t="inlineStr">
        <is>
          <t>غير مستخدم</t>
        </is>
      </c>
      <c r="C8" s="11" t="n">
        <v>0</v>
      </c>
      <c r="D8" s="17" t="inlineStr">
        <is>
          <t>حساب مجاني — تجاهله</t>
        </is>
      </c>
    </row>
    <row r="9">
      <c r="A9" s="9" t="inlineStr">
        <is>
          <t>الإجمالي (مع TradingView)</t>
        </is>
      </c>
      <c r="C9" s="13">
        <f>SUM(C4:C8)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2026-10-24T01:29:16Z</dcterms:created>
  <dcterms:modified xsi:type="dcterms:W3CDTF">2026-10-24T01:29:16Z</dcterms:modified>
</cp:coreProperties>
</file>